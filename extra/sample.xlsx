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u\OneDrive\Documents\"/>
    </mc:Choice>
  </mc:AlternateContent>
  <xr:revisionPtr revIDLastSave="0" documentId="8_{9833A8BB-C57F-4096-88F1-B0DE681F33D8}" xr6:coauthVersionLast="47" xr6:coauthVersionMax="47" xr10:uidLastSave="{00000000-0000-0000-0000-000000000000}"/>
  <bookViews>
    <workbookView xWindow="-98" yWindow="-98" windowWidth="28996" windowHeight="15675" xr2:uid="{771358D7-51E3-400C-8AD9-C8B4169C25BE}"/>
  </bookViews>
  <sheets>
    <sheet name="Sheet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<sst xmlns="http://schemas.openxmlformats.org/spreadsheetml/2006/main" count="96" uniqueCount="63">
  <si>
    <t>Commitment 1:Employ innovation and technology to ensure adolescents and youth attain the highest possible standard of health</t>
  </si>
  <si>
    <t>Perfomance trends of key indicators, 2021/22 to 2025/26</t>
  </si>
  <si>
    <t>Key Actions/Activities</t>
  </si>
  <si>
    <t>Indicator</t>
  </si>
  <si>
    <t>Timeline</t>
  </si>
  <si>
    <t>2021/2022</t>
  </si>
  <si>
    <t>2022/2023</t>
  </si>
  <si>
    <t>2023/2024</t>
  </si>
  <si>
    <t>2024/2025</t>
  </si>
  <si>
    <t>2025/2026</t>
  </si>
  <si>
    <t>Cumulative (2019-2026)</t>
  </si>
  <si>
    <t>Responsibility</t>
  </si>
  <si>
    <t>Budget</t>
  </si>
  <si>
    <t>Expenditure (2025- 2026)</t>
  </si>
  <si>
    <t>Remarks</t>
  </si>
  <si>
    <t>Cumulative.Achievements</t>
  </si>
  <si>
    <t>Cumulative. Targets (25-26)</t>
  </si>
  <si>
    <t>Objective 1:Improve health of adolescents and youth to the highest possible standard</t>
  </si>
  <si>
    <t>Establishment of Constituency Innovation Hubs (CIHs) centres to facilitate access to life skills education, entrepreneurship training, SRH education</t>
  </si>
  <si>
    <t>No. Constituency Innovation Hubs established</t>
  </si>
  <si>
    <t>MoH</t>
  </si>
  <si>
    <t>4B</t>
  </si>
  <si>
    <t>Establishment of the Youth Empowerment Centres (YECs) to facilitate access to lifeskills, HIV-AIDS prevention , Sexual Reproductive Health (SRH) services</t>
  </si>
  <si>
    <t>-No of youth empowerment centers established</t>
  </si>
  <si>
    <t>-</t>
  </si>
  <si>
    <t>Develop applications for youth friendly Sexual Reproductive Health (SRH) information</t>
  </si>
  <si>
    <t>No. of applications developed</t>
  </si>
  <si>
    <t>2B</t>
  </si>
  <si>
    <t>No. of adolescents and youth reached with correct information on SRH/HIV/Teenage pregnancy/SGBV through innovative and digital platform</t>
  </si>
  <si>
    <t>Increase access to SRH /HIV information by adolescents and youth through innovative and digital platforms e.g Peer to peer, webinars, X space...</t>
  </si>
  <si>
    <t>Integrate and nurture AYS- RHR related social enterprises and innovations in SRH programming at all levels</t>
  </si>
  <si>
    <t>No. of enterprises and innovations integrated and nurtured</t>
  </si>
  <si>
    <t>30M</t>
  </si>
  <si>
    <r>
      <t xml:space="preserve">Finalisation and implement strategic MOH policies (RH policy and RH commodity security strategy) and dissemination at all levels No. of policies finalised and being implemented </t>
    </r>
    <r>
      <rPr>
        <sz val="10"/>
        <color rgb="FF0000FF"/>
        <rFont val="Tahoma"/>
        <family val="2"/>
      </rPr>
      <t>Develop MOH Policies, guideline, strategies standards related to SRH services</t>
    </r>
  </si>
  <si>
    <t>No. of policies finalized, disseminated and being implemented</t>
  </si>
  <si>
    <t>20M</t>
  </si>
  <si>
    <t>Conduct education and demand creation at community level for SRH interventions including abstinence for minors</t>
  </si>
  <si>
    <t>No. of community level education and demand creation forums held</t>
  </si>
  <si>
    <t>60M</t>
  </si>
  <si>
    <t>Advocate for integration of comprehensive SRH services in UHC package</t>
  </si>
  <si>
    <t>No. of advocacy forums held</t>
  </si>
  <si>
    <t>500M</t>
  </si>
  <si>
    <t>Establishment operationalize multi-sectorial collaboration workig group at National and County level(health,youth,education) and harmonization of policies.</t>
  </si>
  <si>
    <r>
      <t xml:space="preserve">No of established operational working groups </t>
    </r>
    <r>
      <rPr>
        <sz val="10"/>
        <color rgb="FF0000FF"/>
        <rFont val="Tahoma"/>
        <family val="2"/>
      </rPr>
      <t/>
    </r>
  </si>
  <si>
    <t>0.5M</t>
  </si>
  <si>
    <t>Operationalization of AYP Multisectoral Thematic working Group (TWGs) in National and Counties</t>
  </si>
  <si>
    <t>No. of Functional AYP TWG in National and Counties</t>
  </si>
  <si>
    <t>Objective 2: Eliminate teenage pregnancies by 2030</t>
  </si>
  <si>
    <t>Develop and implement a health sector response action plan for teenage pregnancy</t>
  </si>
  <si>
    <t>Health sector response action plan report</t>
  </si>
  <si>
    <t>Reduce teenage pregancies</t>
  </si>
  <si>
    <t>Proportion of adolescents (10–19) attending ANC</t>
  </si>
  <si>
    <r>
      <t xml:space="preserve">Develop and implement </t>
    </r>
    <r>
      <rPr>
        <sz val="10"/>
        <color rgb="FF0000FF"/>
        <rFont val="Tahoma"/>
        <family val="2"/>
      </rPr>
      <t>strategies to</t>
    </r>
    <r>
      <rPr>
        <sz val="10"/>
        <color theme="1"/>
        <rFont val="Tahoma"/>
        <family val="2"/>
      </rPr>
      <t xml:space="preserve"> increase access to age-appropriate information/life skills including advocacy for abstinence for adolescents and young people in and out of school using multiple approaches</t>
    </r>
  </si>
  <si>
    <t>No. of strategies developed and being implemented</t>
  </si>
  <si>
    <r>
      <t>Develop and implement SRH care giver capacity building and support mechanism for care givers handling adolescents and young people in and out of school using multiple approaches and stakeholders capacity b</t>
    </r>
    <r>
      <rPr>
        <sz val="10"/>
        <color rgb="FF0000FF"/>
        <rFont val="Tahoma"/>
        <family val="2"/>
      </rPr>
      <t>uilding of SRH Care givers on handling adolescents and young people in and out of school using multiple approaches and stakeholders</t>
    </r>
  </si>
  <si>
    <r>
      <t xml:space="preserve">Caregiver guide developed </t>
    </r>
    <r>
      <rPr>
        <sz val="10"/>
        <color rgb="FF0000FF"/>
        <rFont val="Tahoma"/>
        <family val="2"/>
      </rPr>
      <t>No.of Caregivers Trained on SRH Services</t>
    </r>
  </si>
  <si>
    <r>
      <t>Increase access to adolescent and youth friendly health services</t>
    </r>
    <r>
      <rPr>
        <sz val="10"/>
        <color rgb="FFFF0000"/>
        <rFont val="Tahoma"/>
        <family val="2"/>
      </rPr>
      <t xml:space="preserve"> and support for school re-entry and services for ﬁrst time mothers</t>
    </r>
  </si>
  <si>
    <t>No. of youth accessing youth friendly health services</t>
  </si>
  <si>
    <t>Increase access to adolescent and youth friendly health services</t>
  </si>
  <si>
    <t>Develop a health sector adolescent SRH service segmentation SOP/guideline to fast enhance individualized quality access to services to adolescents and youth</t>
  </si>
  <si>
    <t>Health sector adolescent SRH service segmentation SOP/guideline</t>
  </si>
  <si>
    <t>Generate and disseminate evidence on context speciﬁc interventions that reduce and mitigate the impact of teenage pregnancy</t>
  </si>
  <si>
    <t>Evidence generated and disseminated biannually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</si>
</sst>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color rgb="FF2E75B5"/>
      <name val="Tahoma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b/>
      <sz val="10"/>
      <color rgb="FF3D85C6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6" xfId="0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justify" vertical="top" wrapText="1"/>
    </xf>
    <xf numFmtId="0" fontId="4" fillId="7" borderId="4" xfId="0" applyFont="1" applyFill="1" applyBorder="1" applyAlignment="1">
      <alignment horizontal="justify" vertical="top" wrapText="1"/>
    </xf>
    <xf numFmtId="0" fontId="4" fillId="2" borderId="4" xfId="0" applyFont="1" applyFill="1" applyBorder="1" applyAlignment="1">
      <alignment horizontal="justify" vertical="top" wrapText="1"/>
    </xf>
    <xf numFmtId="0" fontId="4" fillId="0" borderId="4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justify" vertical="top" wrapText="1"/>
    </xf>
    <xf numFmtId="0" fontId="0" fillId="0" borderId="4" xfId="0" applyBorder="1" applyAlignment="1">
      <alignment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justify" vertical="top" wrapText="1"/>
    </xf>
    <xf numFmtId="0" fontId="5" fillId="3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justify" vertical="top" wrapText="1"/>
    </xf>
    <xf numFmtId="3" fontId="5" fillId="0" borderId="4" xfId="0" applyNumberFormat="1" applyFont="1" applyBorder="1" applyAlignment="1">
      <alignment horizontal="justify" vertical="top" wrapText="1"/>
    </xf>
    <xf numFmtId="3" fontId="5" fillId="2" borderId="4" xfId="0" applyNumberFormat="1" applyFont="1" applyFill="1" applyBorder="1" applyAlignment="1">
      <alignment horizontal="justify" vertical="top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5520-C75D-4BB7-8468-D457336EA000}">
  <dimension ref="A1:N25"/>
  <sheetViews>
    <sheetView tabSelected="1" topLeftCell="A9" workbookViewId="0">
      <selection activeCell="S10" sqref="S10"/>
    </sheetView>
  </sheetViews>
  <sheetFormatPr defaultRowHeight="14.25" x14ac:dyDescent="0.45"/>
  <sheetData>
    <row r="1" spans="1:14" x14ac:dyDescent="0.4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4.65" thickBot="1" x14ac:dyDescent="0.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45">
      <c r="A3" s="38" t="s">
        <v>2</v>
      </c>
      <c r="B3" s="39" t="s">
        <v>3</v>
      </c>
      <c r="C3" s="40" t="s">
        <v>4</v>
      </c>
      <c r="D3" s="39" t="s">
        <v>5</v>
      </c>
      <c r="E3" s="39" t="s">
        <v>6</v>
      </c>
      <c r="F3" s="39" t="s">
        <v>7</v>
      </c>
      <c r="G3" s="39" t="s">
        <v>8</v>
      </c>
      <c r="H3" s="42" t="s">
        <v>9</v>
      </c>
      <c r="I3" s="23" t="s">
        <v>10</v>
      </c>
      <c r="J3" s="24"/>
      <c r="K3" s="25" t="s">
        <v>11</v>
      </c>
      <c r="L3" s="27" t="s">
        <v>12</v>
      </c>
      <c r="M3" s="25" t="s">
        <v>13</v>
      </c>
      <c r="N3" s="29" t="s">
        <v>14</v>
      </c>
    </row>
    <row r="4" spans="1:14" ht="51.4" thickBot="1" x14ac:dyDescent="0.5">
      <c r="A4" s="38"/>
      <c r="B4" s="39"/>
      <c r="C4" s="41"/>
      <c r="D4" s="39"/>
      <c r="E4" s="39"/>
      <c r="F4" s="39"/>
      <c r="G4" s="39"/>
      <c r="H4" s="42"/>
      <c r="I4" s="1" t="s">
        <v>15</v>
      </c>
      <c r="J4" s="2" t="s">
        <v>16</v>
      </c>
      <c r="K4" s="26"/>
      <c r="L4" s="28"/>
      <c r="M4" s="26"/>
      <c r="N4" s="30"/>
    </row>
    <row r="5" spans="1:14" x14ac:dyDescent="0.45">
      <c r="A5" s="31" t="s">
        <v>17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3"/>
    </row>
    <row r="6" spans="1:14" ht="216.75" x14ac:dyDescent="0.45">
      <c r="A6" s="3" t="s">
        <v>18</v>
      </c>
      <c r="B6" s="4" t="s">
        <v>19</v>
      </c>
      <c r="C6" s="4"/>
      <c r="D6" s="4">
        <v>4</v>
      </c>
      <c r="E6" s="4">
        <v>25</v>
      </c>
      <c r="F6" s="4">
        <v>12</v>
      </c>
      <c r="G6" s="4">
        <v>0</v>
      </c>
      <c r="H6" s="5"/>
      <c r="I6" s="5">
        <f>SUM(D6,E6,F6,G6,H6)</f>
        <v>41</v>
      </c>
      <c r="J6" s="4">
        <v>12</v>
      </c>
      <c r="K6" s="4" t="s">
        <v>20</v>
      </c>
      <c r="L6" s="4" t="s">
        <v>21</v>
      </c>
      <c r="M6" s="4"/>
      <c r="N6" s="6"/>
    </row>
    <row r="7" spans="1:14" ht="216.75" x14ac:dyDescent="0.45">
      <c r="A7" s="7" t="s">
        <v>22</v>
      </c>
      <c r="B7" s="8" t="s">
        <v>23</v>
      </c>
      <c r="C7" s="8"/>
      <c r="D7" s="9"/>
      <c r="E7" s="9"/>
      <c r="F7" s="9"/>
      <c r="G7" s="9"/>
      <c r="H7" s="10"/>
      <c r="I7" s="5">
        <f t="shared" ref="I7:I25" si="0">SUM(D7,E7,F7,G7,H7)</f>
        <v>0</v>
      </c>
      <c r="J7" s="11" t="s">
        <v>24</v>
      </c>
      <c r="K7" s="4" t="s">
        <v>20</v>
      </c>
      <c r="L7" s="4"/>
      <c r="M7" s="11"/>
      <c r="N7" s="6"/>
    </row>
    <row r="8" spans="1:14" ht="140.25" x14ac:dyDescent="0.45">
      <c r="A8" s="12" t="s">
        <v>25</v>
      </c>
      <c r="B8" s="13" t="s">
        <v>26</v>
      </c>
      <c r="C8" s="13"/>
      <c r="D8" s="11" t="s">
        <v>24</v>
      </c>
      <c r="E8" s="11">
        <v>1</v>
      </c>
      <c r="F8" s="11">
        <v>2</v>
      </c>
      <c r="G8" s="11" t="s">
        <v>24</v>
      </c>
      <c r="H8" s="10"/>
      <c r="I8" s="5">
        <f t="shared" si="0"/>
        <v>3</v>
      </c>
      <c r="J8" s="11" t="s">
        <v>24</v>
      </c>
      <c r="K8" s="4" t="s">
        <v>20</v>
      </c>
      <c r="L8" s="4" t="s">
        <v>27</v>
      </c>
      <c r="M8" s="11"/>
      <c r="N8" s="6"/>
    </row>
    <row r="9" spans="1:14" ht="216.75" x14ac:dyDescent="0.45">
      <c r="A9" s="12"/>
      <c r="B9" s="8" t="s">
        <v>28</v>
      </c>
      <c r="C9" s="8"/>
      <c r="D9" s="11"/>
      <c r="E9" s="11"/>
      <c r="F9" s="11"/>
      <c r="G9" s="11"/>
      <c r="H9" s="10"/>
      <c r="I9" s="5">
        <f t="shared" si="0"/>
        <v>0</v>
      </c>
      <c r="J9" s="11"/>
      <c r="K9" s="4" t="s">
        <v>20</v>
      </c>
      <c r="L9" s="11"/>
      <c r="M9" s="11"/>
      <c r="N9" s="6"/>
    </row>
    <row r="10" spans="1:14" ht="204" x14ac:dyDescent="0.45">
      <c r="A10" s="7" t="s">
        <v>29</v>
      </c>
      <c r="B10" s="14"/>
      <c r="C10" s="14"/>
      <c r="D10" s="11"/>
      <c r="E10" s="11"/>
      <c r="F10" s="11"/>
      <c r="G10" s="11"/>
      <c r="H10" s="10"/>
      <c r="I10" s="5">
        <f t="shared" si="0"/>
        <v>0</v>
      </c>
      <c r="J10" s="11"/>
      <c r="K10" s="4" t="s">
        <v>20</v>
      </c>
      <c r="L10" s="11"/>
      <c r="M10" s="11"/>
      <c r="N10" s="6"/>
    </row>
    <row r="11" spans="1:14" ht="165.75" x14ac:dyDescent="0.45">
      <c r="A11" s="12" t="s">
        <v>30</v>
      </c>
      <c r="B11" s="13" t="s">
        <v>31</v>
      </c>
      <c r="C11" s="13"/>
      <c r="D11" s="11" t="s">
        <v>24</v>
      </c>
      <c r="E11" s="11" t="s">
        <v>24</v>
      </c>
      <c r="F11" s="11">
        <v>0</v>
      </c>
      <c r="G11" s="11">
        <v>0</v>
      </c>
      <c r="H11" s="10"/>
      <c r="I11" s="5">
        <f t="shared" si="0"/>
        <v>0</v>
      </c>
      <c r="J11" s="11">
        <v>60</v>
      </c>
      <c r="K11" s="4" t="s">
        <v>20</v>
      </c>
      <c r="L11" s="11" t="s">
        <v>32</v>
      </c>
      <c r="M11" s="11"/>
      <c r="N11" s="6"/>
    </row>
    <row r="12" spans="1:14" ht="369.75" x14ac:dyDescent="0.45">
      <c r="A12" s="12" t="s">
        <v>33</v>
      </c>
      <c r="B12" s="13" t="s">
        <v>34</v>
      </c>
      <c r="C12" s="13"/>
      <c r="D12" s="11">
        <v>1</v>
      </c>
      <c r="E12" s="11"/>
      <c r="F12" s="11" t="s">
        <v>24</v>
      </c>
      <c r="G12" s="11">
        <v>1</v>
      </c>
      <c r="H12" s="10"/>
      <c r="I12" s="5">
        <f t="shared" si="0"/>
        <v>2</v>
      </c>
      <c r="J12" s="11">
        <v>2</v>
      </c>
      <c r="K12" s="4" t="s">
        <v>20</v>
      </c>
      <c r="L12" s="11" t="s">
        <v>35</v>
      </c>
      <c r="M12" s="11"/>
      <c r="N12" s="6"/>
    </row>
    <row r="13" spans="1:14" ht="191.25" x14ac:dyDescent="0.45">
      <c r="A13" s="15" t="s">
        <v>36</v>
      </c>
      <c r="B13" s="13" t="s">
        <v>37</v>
      </c>
      <c r="C13" s="13"/>
      <c r="D13" s="9"/>
      <c r="E13" s="9"/>
      <c r="F13" s="9"/>
      <c r="G13" s="9"/>
      <c r="H13" s="10"/>
      <c r="I13" s="5">
        <f t="shared" si="0"/>
        <v>0</v>
      </c>
      <c r="J13" s="11">
        <v>5</v>
      </c>
      <c r="K13" s="4" t="s">
        <v>20</v>
      </c>
      <c r="L13" s="11" t="s">
        <v>38</v>
      </c>
      <c r="M13" s="11"/>
      <c r="N13" s="6"/>
    </row>
    <row r="14" spans="1:14" ht="114.75" x14ac:dyDescent="0.45">
      <c r="A14" s="12" t="s">
        <v>39</v>
      </c>
      <c r="B14" s="13" t="s">
        <v>40</v>
      </c>
      <c r="C14" s="13"/>
      <c r="D14" s="9"/>
      <c r="E14" s="9"/>
      <c r="F14" s="9"/>
      <c r="G14" s="9"/>
      <c r="H14" s="10"/>
      <c r="I14" s="5">
        <f t="shared" si="0"/>
        <v>0</v>
      </c>
      <c r="J14" s="11">
        <v>5</v>
      </c>
      <c r="K14" s="4" t="s">
        <v>20</v>
      </c>
      <c r="L14" s="11" t="s">
        <v>41</v>
      </c>
      <c r="M14" s="11"/>
      <c r="N14" s="6"/>
    </row>
    <row r="15" spans="1:14" ht="229.5" x14ac:dyDescent="0.45">
      <c r="A15" s="15" t="s">
        <v>42</v>
      </c>
      <c r="B15" s="16" t="s">
        <v>43</v>
      </c>
      <c r="C15" s="16"/>
      <c r="D15" s="9"/>
      <c r="E15" s="9"/>
      <c r="F15" s="9"/>
      <c r="G15" s="17">
        <v>48</v>
      </c>
      <c r="H15" s="10"/>
      <c r="I15" s="5">
        <f t="shared" si="0"/>
        <v>48</v>
      </c>
      <c r="J15" s="11" t="s">
        <v>24</v>
      </c>
      <c r="K15" s="4" t="s">
        <v>20</v>
      </c>
      <c r="L15" s="11" t="s">
        <v>44</v>
      </c>
      <c r="M15" s="11"/>
      <c r="N15" s="6"/>
    </row>
    <row r="16" spans="1:14" ht="153" x14ac:dyDescent="0.45">
      <c r="A16" s="18" t="s">
        <v>45</v>
      </c>
      <c r="B16" s="16" t="s">
        <v>46</v>
      </c>
      <c r="C16" s="16"/>
      <c r="D16" s="9"/>
      <c r="E16" s="9"/>
      <c r="F16" s="9"/>
      <c r="G16" s="17"/>
      <c r="H16" s="10"/>
      <c r="I16" s="5">
        <f t="shared" si="0"/>
        <v>0</v>
      </c>
      <c r="J16" s="11"/>
      <c r="K16" s="4" t="s">
        <v>20</v>
      </c>
      <c r="L16" s="11"/>
      <c r="M16" s="11"/>
      <c r="N16" s="6"/>
    </row>
    <row r="17" spans="1:14" ht="102" x14ac:dyDescent="0.45">
      <c r="A17" s="19" t="s">
        <v>47</v>
      </c>
      <c r="B17" s="19"/>
      <c r="C17" s="19"/>
      <c r="D17" s="19"/>
      <c r="E17" s="19"/>
      <c r="F17" s="19"/>
      <c r="G17" s="19"/>
      <c r="H17" s="19"/>
      <c r="I17" s="5">
        <f t="shared" si="0"/>
        <v>0</v>
      </c>
      <c r="J17" s="19"/>
      <c r="K17" s="4" t="s">
        <v>20</v>
      </c>
      <c r="L17" s="19"/>
      <c r="M17" s="19"/>
      <c r="N17" s="19"/>
    </row>
    <row r="18" spans="1:14" ht="127.5" x14ac:dyDescent="0.45">
      <c r="A18" s="3" t="s">
        <v>48</v>
      </c>
      <c r="B18" s="11" t="s">
        <v>49</v>
      </c>
      <c r="C18" s="11"/>
      <c r="D18" s="4">
        <v>1</v>
      </c>
      <c r="E18" s="4">
        <v>0</v>
      </c>
      <c r="F18" s="4" t="s">
        <v>24</v>
      </c>
      <c r="G18" s="4">
        <v>1</v>
      </c>
      <c r="H18" s="5"/>
      <c r="I18" s="5">
        <f t="shared" si="0"/>
        <v>2</v>
      </c>
      <c r="J18" s="4">
        <v>5</v>
      </c>
      <c r="K18" s="4" t="s">
        <v>20</v>
      </c>
      <c r="L18" s="4"/>
      <c r="M18" s="4"/>
      <c r="N18" s="6"/>
    </row>
    <row r="19" spans="1:14" ht="76.5" x14ac:dyDescent="0.45">
      <c r="A19" s="7" t="s">
        <v>50</v>
      </c>
      <c r="B19" s="8" t="s">
        <v>51</v>
      </c>
      <c r="C19" s="8"/>
      <c r="D19" s="4"/>
      <c r="E19" s="4"/>
      <c r="F19" s="4"/>
      <c r="G19" s="4"/>
      <c r="H19" s="5"/>
      <c r="I19" s="5">
        <f t="shared" si="0"/>
        <v>0</v>
      </c>
      <c r="J19" s="4"/>
      <c r="K19" s="4" t="s">
        <v>20</v>
      </c>
      <c r="L19" s="4"/>
      <c r="M19" s="4"/>
      <c r="N19" s="6"/>
    </row>
    <row r="20" spans="1:14" ht="344.25" x14ac:dyDescent="0.45">
      <c r="A20" s="3" t="s">
        <v>52</v>
      </c>
      <c r="B20" s="11" t="s">
        <v>53</v>
      </c>
      <c r="C20" s="11"/>
      <c r="D20" s="11">
        <v>1</v>
      </c>
      <c r="E20" s="11">
        <v>0</v>
      </c>
      <c r="F20" s="11">
        <v>1</v>
      </c>
      <c r="G20" s="11">
        <v>1</v>
      </c>
      <c r="H20" s="10"/>
      <c r="I20" s="5">
        <f t="shared" si="0"/>
        <v>3</v>
      </c>
      <c r="J20" s="11">
        <v>1</v>
      </c>
      <c r="K20" s="4" t="s">
        <v>20</v>
      </c>
      <c r="L20" s="11"/>
      <c r="M20" s="11"/>
      <c r="N20" s="6"/>
    </row>
    <row r="21" spans="1:14" ht="409.5" x14ac:dyDescent="0.45">
      <c r="A21" s="3" t="s">
        <v>54</v>
      </c>
      <c r="B21" s="13" t="s">
        <v>55</v>
      </c>
      <c r="C21" s="13"/>
      <c r="D21" s="11" t="s">
        <v>24</v>
      </c>
      <c r="E21" s="11">
        <v>1</v>
      </c>
      <c r="F21" s="11"/>
      <c r="G21" s="11">
        <v>0</v>
      </c>
      <c r="H21" s="10"/>
      <c r="I21" s="5">
        <f t="shared" si="0"/>
        <v>1</v>
      </c>
      <c r="J21" s="11">
        <v>1</v>
      </c>
      <c r="K21" s="4" t="s">
        <v>20</v>
      </c>
      <c r="L21" s="11"/>
      <c r="M21" s="11"/>
      <c r="N21" s="6"/>
    </row>
    <row r="22" spans="1:14" ht="216.75" x14ac:dyDescent="0.45">
      <c r="A22" s="3" t="s">
        <v>56</v>
      </c>
      <c r="B22" s="11" t="s">
        <v>57</v>
      </c>
      <c r="C22" s="11"/>
      <c r="D22" s="20">
        <v>1731174</v>
      </c>
      <c r="E22" s="21">
        <v>261022</v>
      </c>
      <c r="F22" s="20">
        <v>246234</v>
      </c>
      <c r="G22" s="21">
        <v>1831313</v>
      </c>
      <c r="H22" s="22"/>
      <c r="I22" s="5">
        <f t="shared" si="0"/>
        <v>4069743</v>
      </c>
      <c r="J22" s="20">
        <v>400000</v>
      </c>
      <c r="K22" s="4" t="s">
        <v>20</v>
      </c>
      <c r="L22" s="20"/>
      <c r="M22" s="20"/>
      <c r="N22" s="6"/>
    </row>
    <row r="23" spans="1:14" ht="102" x14ac:dyDescent="0.45">
      <c r="A23" s="7" t="s">
        <v>58</v>
      </c>
      <c r="B23" s="11"/>
      <c r="C23" s="11"/>
      <c r="D23" s="20"/>
      <c r="E23" s="21"/>
      <c r="F23" s="20"/>
      <c r="G23" s="21"/>
      <c r="H23" s="22"/>
      <c r="I23" s="5">
        <f t="shared" si="0"/>
        <v>0</v>
      </c>
      <c r="J23" s="20"/>
      <c r="K23" s="4" t="s">
        <v>20</v>
      </c>
      <c r="L23" s="20"/>
      <c r="M23" s="20"/>
      <c r="N23" s="6"/>
    </row>
    <row r="24" spans="1:14" ht="242.25" x14ac:dyDescent="0.45">
      <c r="A24" s="12" t="s">
        <v>59</v>
      </c>
      <c r="B24" s="11" t="s">
        <v>60</v>
      </c>
      <c r="C24" s="11"/>
      <c r="D24" s="11" t="s">
        <v>24</v>
      </c>
      <c r="E24" s="11" t="s">
        <v>24</v>
      </c>
      <c r="F24" s="11" t="s">
        <v>24</v>
      </c>
      <c r="G24" s="11">
        <v>1</v>
      </c>
      <c r="H24" s="10"/>
      <c r="I24" s="5">
        <f t="shared" si="0"/>
        <v>1</v>
      </c>
      <c r="J24" s="11">
        <v>1</v>
      </c>
      <c r="K24" s="4" t="s">
        <v>20</v>
      </c>
      <c r="L24" s="11"/>
      <c r="M24" s="11"/>
      <c r="N24" s="6"/>
    </row>
    <row r="25" spans="1:14" ht="204" x14ac:dyDescent="0.45">
      <c r="A25" s="3" t="s">
        <v>61</v>
      </c>
      <c r="B25" s="11" t="s">
        <v>62</v>
      </c>
      <c r="C25" s="11"/>
      <c r="D25" s="11" t="s">
        <v>24</v>
      </c>
      <c r="E25" s="11">
        <v>1</v>
      </c>
      <c r="F25" s="11" t="s">
        <v>24</v>
      </c>
      <c r="G25" s="11">
        <v>1</v>
      </c>
      <c r="H25" s="10"/>
      <c r="I25" s="5">
        <f t="shared" si="0"/>
        <v>2</v>
      </c>
      <c r="J25" s="11">
        <v>3</v>
      </c>
      <c r="K25" s="4" t="s">
        <v>20</v>
      </c>
      <c r="L25" s="11"/>
      <c r="M25" s="11"/>
      <c r="N25" s="6"/>
    </row>
  </sheetData>
  <mergeCells count="16">
    <mergeCell ref="A5:N5"/>
    <mergeCell ref="A1:N1"/>
    <mergeCell ref="A2:N2"/>
    <mergeCell ref="A3:A4"/>
    <mergeCell ref="B3:B4"/>
    <mergeCell ref="C3:C4"/>
    <mergeCell ref="D3:D4"/>
    <mergeCell ref="E3:E4"/>
    <mergeCell ref="F3:F4"/>
    <mergeCell ref="G3:G4"/>
    <mergeCell ref="H3:H4"/>
    <mergeCell ref="I3:J3"/>
    <mergeCell ref="K3:K4"/>
    <mergeCell ref="L3:L4"/>
    <mergeCell ref="M3:M4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CANJETAN NGAHU</dc:creator>
  <cp:lastModifiedBy>CANJETAN NGAHU</cp:lastModifiedBy>
  <dcterms:created xsi:type="dcterms:W3CDTF">2026-08-31T14:54:10Z</dcterms:created>
  <dcterms:modified xsi:type="dcterms:W3CDTF">2026-09-01T05:10:08Z</dcterms:modified>
</cp:coreProperties>
</file>